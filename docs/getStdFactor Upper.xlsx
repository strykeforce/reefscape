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<sst xmlns="http://schemas.openxmlformats.org/spreadsheetml/2006/main" count="9" uniqueCount="9">
  <si>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Distance</t>
  </si>
  <si>
    <t>Base Trust</t>
  </si>
  <si>
    <t>Base Number</t>
  </si>
  <si>
    <t>Power Number</t>
  </si>
  <si>
    <t>Single Tag Coff</t>
  </si>
  <si>
    <t>Multi Tag Coff</t>
  </si>
  <si>
    <t>Single Tag</t>
  </si>
  <si>
    <t>Multi Tag</t>
  </si>
  <si>
    <t xml:space="preserve"> ^ Change these to change the graph ^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</si>
</sst>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Standard Deviation Over Time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Sheet1!$A$2:$A$11</c:f>
            </c:strRef>
          </c:cat>
          <c:val>
            <c:numRef>
              <c:f>Sheet1!$H$2:$H$11</c:f>
              <c:numCache/>
            </c:numRef>
          </c:val>
          <c:smooth val="1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Sheet1!$A$2:$A$11</c:f>
            </c:strRef>
          </c:cat>
          <c:val>
            <c:numRef>
              <c:f>Sheet1!$G$2:$G$11</c:f>
              <c:numCache/>
            </c:numRef>
          </c:val>
          <c:smooth val="1"/>
        </c:ser>
        <c:axId val="676938196"/>
        <c:axId val="30034824"/>
      </c:lineChart>
      <c:catAx>
        <c:axId val="6769381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034824"/>
      </c:catAx>
      <c:valAx>
        <c:axId val="300348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Standard Deviation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69381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285750</xdr:colOff>
      <xdr:row>4</xdr:row>
      <xdr:rowOff>161925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0.5</v>
      </c>
      <c r="B2" s="1">
        <v>3.0</v>
      </c>
      <c r="C2" s="2">
        <f>EXP(1)</f>
        <v>2.718281828</v>
      </c>
      <c r="D2" s="1">
        <v>4.0</v>
      </c>
      <c r="E2" s="1">
        <v>0.22</v>
      </c>
      <c r="F2" s="1">
        <v>0.17</v>
      </c>
      <c r="G2" s="2">
        <f t="shared" ref="G2:G21" si="1">0.1/(1/($B$2*POW($C$2,POW($E$2*A2,$D$2))))</f>
        <v>0.3000439262</v>
      </c>
      <c r="H2" s="2">
        <f t="shared" ref="H2:H21" si="2">0.1/(1/($B$2*POW($C$2,POW($F$2*A2,$D$2))))</f>
        <v>0.3000156606</v>
      </c>
    </row>
    <row r="3">
      <c r="A3" s="2">
        <f t="shared" ref="A3:A21" si="3">A2+0.5</f>
        <v>1</v>
      </c>
      <c r="B3" s="3" t="s">
        <v>8</v>
      </c>
      <c r="G3" s="2">
        <f t="shared" si="1"/>
        <v>0.3007035918</v>
      </c>
      <c r="H3" s="2">
        <f t="shared" si="2"/>
        <v>0.3002506677</v>
      </c>
    </row>
    <row r="4">
      <c r="A4" s="2">
        <f t="shared" si="3"/>
        <v>1.5</v>
      </c>
      <c r="G4" s="2">
        <f t="shared" si="1"/>
        <v>0.3035789428</v>
      </c>
      <c r="H4" s="2">
        <f t="shared" si="2"/>
        <v>0.3012711607</v>
      </c>
    </row>
    <row r="5">
      <c r="A5" s="2">
        <f t="shared" si="3"/>
        <v>2</v>
      </c>
      <c r="G5" s="2">
        <f t="shared" si="1"/>
        <v>0.3114576689</v>
      </c>
      <c r="H5" s="2">
        <f t="shared" si="2"/>
        <v>0.3040359146</v>
      </c>
    </row>
    <row r="6">
      <c r="A6" s="2">
        <f t="shared" si="3"/>
        <v>2.5</v>
      </c>
      <c r="G6" s="2">
        <f t="shared" si="1"/>
        <v>0.3287470877</v>
      </c>
      <c r="H6" s="2">
        <f t="shared" si="2"/>
        <v>0.3099490302</v>
      </c>
    </row>
    <row r="7">
      <c r="A7" s="2">
        <f t="shared" si="3"/>
        <v>3</v>
      </c>
      <c r="G7" s="2">
        <f t="shared" si="1"/>
        <v>0.3626832394</v>
      </c>
      <c r="H7" s="2">
        <f t="shared" si="2"/>
        <v>0.3209978691</v>
      </c>
    </row>
    <row r="8">
      <c r="A8" s="2">
        <f t="shared" si="3"/>
        <v>3.5</v>
      </c>
      <c r="G8" s="2">
        <f t="shared" si="1"/>
        <v>0.4263722899</v>
      </c>
      <c r="H8" s="2">
        <f t="shared" si="2"/>
        <v>0.3400579946</v>
      </c>
    </row>
    <row r="9">
      <c r="A9" s="2">
        <f t="shared" si="3"/>
        <v>4</v>
      </c>
      <c r="G9" s="2">
        <f t="shared" si="1"/>
        <v>0.5464691384</v>
      </c>
      <c r="H9" s="2">
        <f t="shared" si="2"/>
        <v>0.3715175986</v>
      </c>
    </row>
    <row r="10">
      <c r="A10" s="2">
        <f t="shared" si="3"/>
        <v>4.5</v>
      </c>
      <c r="G10" s="2">
        <f t="shared" si="1"/>
        <v>0.7839760604</v>
      </c>
      <c r="H10" s="2">
        <f t="shared" si="2"/>
        <v>0.4225343627</v>
      </c>
    </row>
    <row r="11">
      <c r="A11" s="2">
        <f t="shared" si="3"/>
        <v>5</v>
      </c>
      <c r="G11" s="2">
        <f t="shared" si="1"/>
        <v>1.297095061</v>
      </c>
      <c r="H11" s="2">
        <f t="shared" si="2"/>
        <v>0.5056216815</v>
      </c>
    </row>
    <row r="12">
      <c r="A12" s="2">
        <f t="shared" si="3"/>
        <v>5.5</v>
      </c>
      <c r="G12" s="2">
        <f t="shared" si="1"/>
        <v>2.558998589</v>
      </c>
      <c r="H12" s="2">
        <f t="shared" si="2"/>
        <v>0.644227436</v>
      </c>
    </row>
    <row r="13">
      <c r="A13" s="2">
        <f t="shared" si="3"/>
        <v>6</v>
      </c>
      <c r="G13" s="2">
        <f t="shared" si="1"/>
        <v>6.246272936</v>
      </c>
      <c r="H13" s="2">
        <f t="shared" si="2"/>
        <v>0.8855550598</v>
      </c>
    </row>
    <row r="14">
      <c r="A14" s="2">
        <f t="shared" si="3"/>
        <v>6.5</v>
      </c>
      <c r="G14" s="2">
        <f t="shared" si="1"/>
        <v>19.64147115</v>
      </c>
      <c r="H14" s="2">
        <f t="shared" si="2"/>
        <v>1.332329943</v>
      </c>
    </row>
    <row r="15">
      <c r="A15" s="2">
        <f t="shared" si="3"/>
        <v>7</v>
      </c>
      <c r="G15" s="2">
        <f t="shared" si="1"/>
        <v>83.13898751</v>
      </c>
      <c r="H15" s="2">
        <f t="shared" si="2"/>
        <v>2.228583999</v>
      </c>
    </row>
    <row r="16">
      <c r="A16" s="2">
        <f t="shared" si="3"/>
        <v>7.5</v>
      </c>
      <c r="G16" s="2">
        <f t="shared" si="1"/>
        <v>496.7234565</v>
      </c>
      <c r="H16" s="2">
        <f t="shared" si="2"/>
        <v>4.215144344</v>
      </c>
    </row>
    <row r="17">
      <c r="A17" s="2">
        <f t="shared" si="3"/>
        <v>8</v>
      </c>
      <c r="G17" s="2">
        <f t="shared" si="1"/>
        <v>4407.896875</v>
      </c>
      <c r="H17" s="2">
        <f t="shared" si="2"/>
        <v>9.180184988</v>
      </c>
    </row>
    <row r="18">
      <c r="A18" s="2">
        <f t="shared" si="3"/>
        <v>8.5</v>
      </c>
      <c r="G18" s="2">
        <f t="shared" si="1"/>
        <v>61349.16292</v>
      </c>
      <c r="H18" s="2">
        <f t="shared" si="2"/>
        <v>23.47358148</v>
      </c>
    </row>
    <row r="19">
      <c r="A19" s="2">
        <f t="shared" si="3"/>
        <v>9</v>
      </c>
      <c r="G19" s="2">
        <f t="shared" si="1"/>
        <v>1419142.474</v>
      </c>
      <c r="H19" s="2">
        <f t="shared" si="2"/>
        <v>71.9405444</v>
      </c>
    </row>
    <row r="20">
      <c r="A20" s="2">
        <f t="shared" si="3"/>
        <v>9.5</v>
      </c>
      <c r="G20" s="2">
        <f t="shared" si="1"/>
        <v>58021535.75</v>
      </c>
      <c r="H20" s="2">
        <f t="shared" si="2"/>
        <v>270.1196061</v>
      </c>
    </row>
    <row r="21">
      <c r="A21" s="2">
        <f t="shared" si="3"/>
        <v>10</v>
      </c>
      <c r="G21" s="2">
        <f t="shared" si="1"/>
        <v>4474351203</v>
      </c>
      <c r="H21" s="2">
        <f t="shared" si="2"/>
        <v>1271.722037</v>
      </c>
    </row>
  </sheetData>
  <mergeCells count="1">
    <mergeCell ref="B3:F3"/>
  </mergeCells>
  <drawing r:id="rId1"/>
</worksheet>
</file>